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mathworks-my.sharepoint.com/personal/pwilliam_mathworks_com/Documents/Documents/SFTT/Customers/FlightTest/LinkBudget/"/>
    </mc:Choice>
  </mc:AlternateContent>
  <xr:revisionPtr revIDLastSave="376" documentId="13_ncr:1_{40145B1D-870D-4D2E-9C94-B739E5DCE841}" xr6:coauthVersionLast="47" xr6:coauthVersionMax="47" xr10:uidLastSave="{6281796D-DCCD-4AA2-9816-C505972FA41A}"/>
  <bookViews>
    <workbookView xWindow="-120" yWindow="-120" windowWidth="51840" windowHeight="21120" xr2:uid="{E77ED6F3-54BA-4A1E-9419-890989D43F84}"/>
  </bookViews>
  <sheets>
    <sheet name="PartsList" sheetId="1" r:id="rId1"/>
    <sheet name="Sheet1" sheetId="3" r:id="rId2"/>
    <sheet name="UnistrutMount" sheetId="2" r:id="rId3"/>
    <sheet name="BoxSetup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4" l="1"/>
  <c r="B15" i="4"/>
  <c r="C14" i="4"/>
  <c r="B14" i="4"/>
  <c r="C13" i="4"/>
  <c r="B13" i="4"/>
  <c r="B10" i="4"/>
  <c r="C7" i="4"/>
  <c r="B7" i="4"/>
  <c r="C5" i="4"/>
  <c r="E5" i="1"/>
  <c r="E20" i="1"/>
  <c r="B21" i="3"/>
  <c r="B22" i="3" s="1"/>
  <c r="B23" i="3" s="1"/>
  <c r="B18" i="3"/>
  <c r="B19" i="3" s="1"/>
  <c r="E14" i="3"/>
  <c r="E12" i="3"/>
  <c r="K10" i="3"/>
  <c r="E10" i="3"/>
  <c r="K9" i="3"/>
  <c r="E9" i="3"/>
  <c r="K8" i="3"/>
  <c r="E8" i="3"/>
  <c r="E18" i="1"/>
  <c r="E17" i="1"/>
  <c r="E19" i="1"/>
  <c r="E16" i="1"/>
  <c r="E15" i="1"/>
  <c r="E9" i="1"/>
  <c r="E10" i="1"/>
  <c r="E14" i="1"/>
  <c r="E13" i="1"/>
  <c r="E12" i="1"/>
  <c r="E11" i="1"/>
  <c r="E8" i="1"/>
  <c r="E7" i="1"/>
  <c r="E6" i="1"/>
  <c r="E3" i="1"/>
  <c r="E4" i="1"/>
  <c r="E13" i="2"/>
  <c r="E21" i="1" l="1"/>
</calcChain>
</file>

<file path=xl/sharedStrings.xml><?xml version="1.0" encoding="utf-8"?>
<sst xmlns="http://schemas.openxmlformats.org/spreadsheetml/2006/main" count="325" uniqueCount="196">
  <si>
    <t>Index</t>
  </si>
  <si>
    <t>Item</t>
  </si>
  <si>
    <t>Price ($)</t>
  </si>
  <si>
    <t>Quantity</t>
  </si>
  <si>
    <t>Subtotals ($)</t>
  </si>
  <si>
    <t>Note</t>
  </si>
  <si>
    <t>Ordered?</t>
  </si>
  <si>
    <t>Received?</t>
  </si>
  <si>
    <t>Link</t>
  </si>
  <si>
    <t>Datasheet</t>
  </si>
  <si>
    <t>NVME Stick Enclosure</t>
  </si>
  <si>
    <t>Wait</t>
  </si>
  <si>
    <t>-</t>
  </si>
  <si>
    <t>https://www.amazon.com/ORICO-NVMe-Enclosure-Gbps-Support/dp/B08G14NBCS/ref=sr_1_2_sspa?crid=7HN322Q73H9H&amp;dib=eyJ2IjoiMSJ9.x_YoLcFRQVDp6Pz0sZASPeQ1Wz5Ffo4x1prDipqSEJVuNjcz7rhCfSCGAhiUOwG4iRzioB7AOdN6aq8ta5cWM2FG_GjgRqcSDrYMqppYo1WHIpIOnWLD9EM0x4BcAPDvlIqALSR7cxuMVCQy-OkAsINGQcmSIMcboFUG-BhBkYqYDk9g_nObSvGPQBMZpBEZKXRC5khHDym4yMFFlnLs3vS9VNY7hS5HS-sR-_l4GD0.Guk8t5AkEyBDFK5IVx4Bb__eez_piQOacBbBfjhjGxs&amp;dib_tag=se&amp;keywords=nvme%2Bstick&amp;qid=1760728128&amp;sprefix=500gb%2Bnvme%2Bstick%2Caps%2C187&amp;sr=8-2-spons&amp;sp_csd=d2lkZ2V0TmFtZT1zcF9hdGY&amp;th=1</t>
  </si>
  <si>
    <t>NVME Stick</t>
  </si>
  <si>
    <t>https://www.amazon.com/KingSpec-512GB-NVMe-Gen3x4-2280/dp/B0D1R5VQRG/ref=sr_1_1_sspa?crid=315OWESAKPJGZ&amp;dib=eyJ2IjoiMSJ9.z1WGxbyYkI8kMwrLL41w9oYGvs8ewydsNxt4O9Zbr2bAh44uocV2eJAoM2OYeYtqZkODRh47XD5NIR9ZpRORbNb835391xT5qcUYwY6z331FQ3cH6kULg0_0KWBIggJASrJU2cfPl1pyheIlN4_9A4DbzO-FGJfkJIBkNGsozUqYjuDPTvVaRft1EWFbEkbbGkra0uAxnphX_37YBKGQzTB3mBfPldLBlodewYSodGk.uPovzUd5oHg13uVVuIb6DtghPqU116II9I8hQ5GKvTk&amp;dib_tag=se&amp;keywords=nvme%2Bstick%2B500gb&amp;qid=1760728166&amp;sprefix=nvme%2Bstick%2Caps%2C151&amp;sr=8-1-spons&amp;sp_csd=d2lkZ2V0TmFtZT1zcF9hdGY&amp;th=1</t>
  </si>
  <si>
    <t>RF Filter (bandpass Filter)</t>
  </si>
  <si>
    <t>https://www.minicircuits.com/WebStore/dashboard.html?model=ZABP-587-S%2B</t>
  </si>
  <si>
    <t>Nooelec Wideband Amp</t>
  </si>
  <si>
    <t>Yes</t>
  </si>
  <si>
    <t>https://www.amazon.com/Nooelec-Lana-Accessories-20MHz-4000MHz-Capability/dp/B07XNLJ9X2/ref=sr_1_20?dib=eyJ2IjoiMSJ9.WuvK97pyW8FXMhDVXh9XDtz4G5h4BIryxVQ_2gwzn7XGjHj071QN20LucGBJIEps.07BHW090LmNNJqdej7hQMjMxkyZvOxLwUm1d9w8xzEI&amp;dib_tag=se&amp;keywords=nooelec+sawbird&amp;qid=1763416314&amp;sr=8-20&amp;xpid=eIbC1A6TOepAu</t>
  </si>
  <si>
    <t>Eth 6port Switch with SFP</t>
  </si>
  <si>
    <t>1 of 2</t>
  </si>
  <si>
    <t>https://www.amazon.com/Port-2-5G-10G-SFP-NICGIGA/dp/B0DNDSXHCK</t>
  </si>
  <si>
    <t>SFP Optical Transceiver Module - 1G</t>
  </si>
  <si>
    <t>https://www.fs.com/products/11774.html?now_cid=81</t>
  </si>
  <si>
    <t>SFP Optical Transceiver Module - 10G</t>
  </si>
  <si>
    <t>https://www.fs.com/products/11556.html?now_cid=63</t>
  </si>
  <si>
    <t>Fiber Optic Cable - LC/UCP to LC/UCP - OM2, Riser 2Fibers</t>
  </si>
  <si>
    <t>https://www.fs.com/shopping_cart.html</t>
  </si>
  <si>
    <t>Power Brick w/ USB Power</t>
  </si>
  <si>
    <t>Leif had one</t>
  </si>
  <si>
    <t>No</t>
  </si>
  <si>
    <t>https://www.amazon.com/Surge-Protector-Power-Strip-Extension/dp/B0D9JTBD52</t>
  </si>
  <si>
    <t>Power Cables - USB A to MicroUSB</t>
  </si>
  <si>
    <t>https://www.amazon.com/Charger-Android-Charging-Compatible-Samsung/dp/B08LPBWG18</t>
  </si>
  <si>
    <t>Toroid - USB noise filter</t>
  </si>
  <si>
    <t>https://www.amazon.com/dp/B095BY5QRH</t>
  </si>
  <si>
    <t>RF Cable 75ft</t>
  </si>
  <si>
    <t>https://www.amazon.com/gp/aw/d/B01LW6V9ZY?th=1</t>
  </si>
  <si>
    <t>Eth Cat6 - 100ft</t>
  </si>
  <si>
    <t>https://www.amazon.com/Cat6-100ft-Ethernet-Network-Internet/dp/B0DC6VNTDH/ref=sr_1_4?</t>
  </si>
  <si>
    <t>Small Monitor</t>
  </si>
  <si>
    <t>https://www.amazon.com/PHILIPS-Frameless-Replacement-Warranty-241V8LB/dp/B0C8ZKV5R9/ref=sr_1_5?crid=3MB7TM</t>
  </si>
  <si>
    <t>Zigbee Dongle - N320 reboot</t>
  </si>
  <si>
    <t>https://www.amazon.com/THIRDREALITY-Monitoring-Certified-Compatible-SmartThing/dp/B0BPY2KRHH/ref=sr_1_11</t>
  </si>
  <si>
    <t>Zigbee Switch  - N320 reboot</t>
  </si>
  <si>
    <t>Updated - out of stock - https://www.amazon.com/gp/product/B0FMJD288B/ref=ox_sc_act_title_3?</t>
  </si>
  <si>
    <t>https://www.amazon.com/SONOFF-Gateway-Universal-Assistant-Wireless/dp/B09KXTCMSC</t>
  </si>
  <si>
    <t>Travel Router</t>
  </si>
  <si>
    <t>https://www.amazon.com/GL-iNet-GL-SFT1200-Secure-Travel-Router/dp/B09N72FMH5/ref=sr_1_1_sspa</t>
  </si>
  <si>
    <t>Computer Enclosure</t>
  </si>
  <si>
    <t>Amazon.com: VEVOR 12U Wall Mount Network Cabinet, 15.5'' Deep Server Rack Cabinet Enclosure…</t>
  </si>
  <si>
    <t>Total</t>
  </si>
  <si>
    <t>Below are just notes, parts list is clean for up to date system</t>
  </si>
  <si>
    <t>Things we have, but need:</t>
  </si>
  <si>
    <t>Potential Parts</t>
  </si>
  <si>
    <t>Cooler</t>
  </si>
  <si>
    <t>NA (Second hand)</t>
  </si>
  <si>
    <t>WiFi Dongle</t>
  </si>
  <si>
    <t>https://www.amazon.com/wireless-USB-WiFi-Adapter-PC/dp/B07P5PRK7J</t>
  </si>
  <si>
    <t>Powerstrip/ extension cords (have)</t>
  </si>
  <si>
    <t>NA (have)</t>
  </si>
  <si>
    <t>Glnet</t>
  </si>
  <si>
    <t>USRP N320</t>
  </si>
  <si>
    <t>Small computer for data collection (Leif Has)</t>
  </si>
  <si>
    <t>^Can we collect data from Pi using N320? If not, we'll need some computer - confirmed Leif has desktop we can use</t>
  </si>
  <si>
    <t>Two adjustable DTV antennas (found better solution)</t>
  </si>
  <si>
    <t>https://www.amazon.com/pingbingding-Antenna-Outdoor-Motorized-Rotation/dp/B07JN6FNZ4</t>
  </si>
  <si>
    <t>^ NO, devs recommend PC or Deploying to ARM on the USRP</t>
  </si>
  <si>
    <t>Jpole mounts</t>
  </si>
  <si>
    <t>https://www.amazon.com/pingbingding-Adjustable-Attic-Antenna-Mount/dp/B07BNSL21G/ref=pd_bxgy_thbs_d_sccl_1/139-2170878-3115837?pd_rd_w=1Si2L&amp;content-id=amzn1.sym.de9a1315-b9df-4c24-863c-7afcb2e4cc0a&amp;pf_rd_p=de9a1315-b9df-4c24-863c-7afcb2e4cc0a&amp;pf_rd_r=B0JFAQQA2QY6S9ZXCRXD&amp;pd_rd_wg=Qc9CM&amp;pd_rd_r=bf3957f5-353c-4dc9-8a57-7fc705ed09c5&amp;pd_rd_i=B07BNSL21G&amp;psc=1</t>
  </si>
  <si>
    <t>Two Adjustable DTV Antennas w Pole Included</t>
  </si>
  <si>
    <t>https://www.amazon.com/WA-2608-Amplified-Mounting-Wireless-Rotation/dp/B0748KYTZN</t>
  </si>
  <si>
    <t>Raspberry Pi 5 (4GB)</t>
  </si>
  <si>
    <t>https://www.amazon.com/Raspberry-Pi-4GB-2023-Processor/dp/B0CK3L9WD3/ref=sr_1_1?crid=UWUSCCZKBWWU&amp;dib=eyJ2IjoiMSJ9.iG3C_RhTcYByh-vruugjzkTqOKPOZNzpX4xt_w6pP1uaDGg956kKUNZ5EykYJTLhjK8R0Pcna_R3FAiplwdB_7esToV30O6nKJJkXh6_gNN2iRUdw7H_-2yuC41x91s9gQi9BCJl7PCGHtfxWBmD1y7FlG4UsFYodoa6rGr4SdpbFxSLRncer08-qpV2LTDs3BI6wCKQv9p7zT5who0zN8BoBUe5ubEZw-FMUVYLz61xGCkdQ0R0wCg9s9gzrtDHzh055tHTksjw1ewbYA4KVlLoCLopMta52uQvhKapzjg.0J1EHmZoBQ-KyA_Cy47GO08-73gBEmP4FMYKvW87lqg&amp;dib_tag=se&amp;keywords=raspberry+pi+5+4gb&amp;qid=1760726319&amp;s=electronics&amp;sprefix=raspberry+pi+5+4gb%2Celectronics%2C80&amp;sr=1-1</t>
  </si>
  <si>
    <t>5-in U-Bolt</t>
  </si>
  <si>
    <t>https://www.homedepot.com/p/PLUMBFLEX-4-in-Light-Duty-Electro-Galvanized-Steel-U-Bolt-Pipe-Clamp-0438BUSGE-N/324322561</t>
  </si>
  <si>
    <t>Unistrut/ antenna mount</t>
  </si>
  <si>
    <t>*See Next Slide for Parts list and price breakdown</t>
  </si>
  <si>
    <t>PC Data Collection</t>
  </si>
  <si>
    <t>https://www.amazon.com/TRIGKEY-KEY-N100-Computer-Support-Display/dp/B0B8BSWPS4?th=1</t>
  </si>
  <si>
    <t>Antenna mount – mounting on vertical post in the garage</t>
  </si>
  <si>
    <t>https://www.amazon.com/XRDS-RF-Antenna-Bracket-U-Bolts-Outside/dp/B0BMQ2YKPC?th=1</t>
  </si>
  <si>
    <t>IF Amplifier</t>
  </si>
  <si>
    <t>Leif has some we can use</t>
  </si>
  <si>
    <t>Yagi WiFi Antenna</t>
  </si>
  <si>
    <t>https://www.amazon.com/Antenna-Connector-Directional-Extension-Security/dp/B0DLZC1WDQ/ref=sr_1_8?crid=3RW3M3BSXE5SB&amp;dib=eyJ2IjoiMSJ9.RS06YqF__6BnkDK8107nYm1y8dj-dJ1rr0sIL2iOwKws4LrmoDIwc0sTtY0yekjuhlelR8bvKXYt2X_zBGrXOanvW_xKFYTzDivqnTEzBX0Vf6XtIqT0HMdpw82LVpFHG1jZFENd3JZ3Lwu5jHGiuPJzQlHotY3CojHuXVSleF9MzFl8s8sVSQjPjQMrMgFaNR4X-GiFTj5Y-u9CT8GkbYxHuvgAYgaTFQadEgU4zE8.qgRQj1bqs7pmkk2Kqos-_JRS8ditU39T4h5R3qbCq1Q&amp;dib_tag=se&amp;keywords=high%2Bgain%2Bwifi%2Bantenna%2Bpacket%2Binjection&amp;qid=1760726725&amp;sprefix=high%2Bgain%2Bwi%2Caps%2C81&amp;sr=8-8&amp;th=1</t>
  </si>
  <si>
    <t>POE Injector</t>
  </si>
  <si>
    <t>Using Leif's</t>
  </si>
  <si>
    <t>https://www.minicircuits.com/WebStore/dashboard.html?model=BPF-A580%2B</t>
  </si>
  <si>
    <t xml:space="preserve">Electronics Box </t>
  </si>
  <si>
    <t>Need to confirm size needed</t>
  </si>
  <si>
    <t>https://www.amazon.com/Arlington-EB1212-1-Electronic-Equipment-Non-Metallic/dp/B00AAU5D6Q?th=1</t>
  </si>
  <si>
    <t>Estimate Diameter of Pole on AH East Garage</t>
  </si>
  <si>
    <t>circumference</t>
  </si>
  <si>
    <t>Measured (in)</t>
  </si>
  <si>
    <t>diameter</t>
  </si>
  <si>
    <t>Ubolt Width (in)</t>
  </si>
  <si>
    <t>half circumference</t>
  </si>
  <si>
    <t>cicumference</t>
  </si>
  <si>
    <t>Calculated</t>
  </si>
  <si>
    <t>Description</t>
  </si>
  <si>
    <t>Qty</t>
  </si>
  <si>
    <t>Est. Unit Price</t>
  </si>
  <si>
    <t>Home Depot Link</t>
  </si>
  <si>
    <t>Unistrut Channel</t>
  </si>
  <si>
    <t>1-5/8 in. x 4 ft, 12 Gauge, Half-slot</t>
  </si>
  <si>
    <t>https://www.homedepot.com/p/NEWHOUSE-ELECTRIC-1-5-8-in-4-ft-12-Gauge-Steel-Half-slot-A-Strut-Channel-Slotted-Back-Electro-Galvanized-Metal-U-Bracket-SC12-4-EG/321699505</t>
  </si>
  <si>
    <t>Angle Brackets</t>
  </si>
  <si>
    <t>90° Unistrut angle brackets</t>
  </si>
  <si>
    <t>https://www.homedepot.com</t>
  </si>
  <si>
    <t>Channel Nuts</t>
  </si>
  <si>
    <t>Spring-loaded, 3/8"-16</t>
  </si>
  <si>
    <t>Hex Bolts &amp; Washers</t>
  </si>
  <si>
    <t>Stainless steel, 3/8"-16</t>
  </si>
  <si>
    <t>U-Bolts</t>
  </si>
  <si>
    <t>For 1 ft diameter pillar</t>
  </si>
  <si>
    <t>Pipe Clamps (Optional)</t>
  </si>
  <si>
    <t>2 in. Universal Strut Pipe Clamp</t>
  </si>
  <si>
    <t>https://www.homedepot.com/p/Superstrut-2-in-Universal-Strut-Pipe-Clamp-Silver-Galvanized-Z703-2EG-25/100162466</t>
  </si>
  <si>
    <t>Beam Clamps (Optional)</t>
  </si>
  <si>
    <t>3/8 in. Strut Beam Clamp</t>
  </si>
  <si>
    <t>https://www.homedepot.com/p/Superstrut-3-8-in-Strut-Beam-Clamp-Silver-Strut-Fitting-Z502-10/100162468</t>
  </si>
  <si>
    <t>Concrete Anchor Bolts</t>
  </si>
  <si>
    <t>Wedge anchors for base</t>
  </si>
  <si>
    <t>Base Plates (Optional)</t>
  </si>
  <si>
    <t>Flat mounting plates</t>
  </si>
  <si>
    <t>N</t>
  </si>
  <si>
    <t>My First Linear Plan</t>
  </si>
  <si>
    <t>M</t>
  </si>
  <si>
    <t>3/4" Plywood</t>
  </si>
  <si>
    <t>Cutlist Optimizer - optiCutter</t>
  </si>
  <si>
    <t>K</t>
  </si>
  <si>
    <t>Kerf / Blade thickness</t>
  </si>
  <si>
    <t>0.125″</t>
  </si>
  <si>
    <t>@</t>
  </si>
  <si>
    <t>Length</t>
  </si>
  <si>
    <t>Width</t>
  </si>
  <si>
    <t>Grain Direction</t>
  </si>
  <si>
    <t/>
  </si>
  <si>
    <t>S</t>
  </si>
  <si>
    <t>Required stocks</t>
  </si>
  <si>
    <t>36″</t>
  </si>
  <si>
    <t>29.875″</t>
  </si>
  <si>
    <t>Label</t>
  </si>
  <si>
    <t>Notes</t>
  </si>
  <si>
    <t>37.875″</t>
  </si>
  <si>
    <t>53.75″</t>
  </si>
  <si>
    <t>P</t>
  </si>
  <si>
    <t>Back</t>
  </si>
  <si>
    <t>sides</t>
  </si>
  <si>
    <t>Cut at angle at 30"</t>
  </si>
  <si>
    <t>roof</t>
  </si>
  <si>
    <t>recesses</t>
  </si>
  <si>
    <t>Cutting layouts</t>
  </si>
  <si>
    <t>front_Top</t>
  </si>
  <si>
    <t>front_Bot</t>
  </si>
  <si>
    <t>Layout ID</t>
  </si>
  <si>
    <t>Repetition</t>
  </si>
  <si>
    <t>front_sides</t>
  </si>
  <si>
    <t>A</t>
  </si>
  <si>
    <t>door</t>
  </si>
  <si>
    <t>Panel length</t>
  </si>
  <si>
    <t>Panel width</t>
  </si>
  <si>
    <t>X</t>
  </si>
  <si>
    <t>Y</t>
  </si>
  <si>
    <t>scrap</t>
  </si>
  <si>
    <t>10″</t>
  </si>
  <si>
    <t>26″</t>
  </si>
  <si>
    <t>0″</t>
  </si>
  <si>
    <t>24″</t>
  </si>
  <si>
    <t>3.563″</t>
  </si>
  <si>
    <t>10.125″</t>
  </si>
  <si>
    <t>3″</t>
  </si>
  <si>
    <t>3.688″</t>
  </si>
  <si>
    <t>17.875″</t>
  </si>
  <si>
    <t>20.875″</t>
  </si>
  <si>
    <t>6.813″</t>
  </si>
  <si>
    <t>1.5″</t>
  </si>
  <si>
    <t>19.5″</t>
  </si>
  <si>
    <t>28.125″</t>
  </si>
  <si>
    <t>29.75″</t>
  </si>
  <si>
    <t>31.375″</t>
  </si>
  <si>
    <t>33″</t>
  </si>
  <si>
    <t>B</t>
  </si>
  <si>
    <t>23.75″</t>
  </si>
  <si>
    <t>15.25″</t>
  </si>
  <si>
    <t>30″</t>
  </si>
  <si>
    <t>8.25″</t>
  </si>
  <si>
    <t>15.375″</t>
  </si>
  <si>
    <t>22.5″</t>
  </si>
  <si>
    <t>8.375″</t>
  </si>
  <si>
    <t>27″</t>
  </si>
  <si>
    <t>31″</t>
  </si>
  <si>
    <t>34.125″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</si>
</sst>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&quot;$&quot;#,##0.00"/>
    <numFmt numFmtId="166" formatCode="_(* #,##0_);_(* \(#,##0\);_(* &quot;-&quot;??_);_(@_)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rial"/>
      <family val="2"/>
    </font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6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0" xfId="1"/>
    <xf numFmtId="0" fontId="2" fillId="0" borderId="0" xfId="0" applyFont="1"/>
    <xf numFmtId="0" fontId="1" fillId="0" borderId="0" xfId="0" applyFont="1" applyAlignment="1">
      <alignment horizontal="center"/>
    </xf>
    <xf numFmtId="6" fontId="1" fillId="0" borderId="0" xfId="0" applyNumberFormat="1" applyFont="1" applyAlignment="1">
      <alignment horizontal="left"/>
    </xf>
    <xf numFmtId="6" fontId="2" fillId="0" borderId="0" xfId="0" applyNumberFormat="1" applyFont="1"/>
    <xf numFmtId="0" fontId="4" fillId="0" borderId="0" xfId="0" applyFont="1" applyAlignment="1">
      <alignment horizontal="left" vertical="center" wrapText="1" readingOrder="1"/>
    </xf>
    <xf numFmtId="164" fontId="0" fillId="0" borderId="0" xfId="0" applyNumberFormat="1"/>
    <xf numFmtId="164" fontId="0" fillId="2" borderId="0" xfId="0" applyNumberFormat="1" applyFill="1"/>
    <xf numFmtId="0" fontId="0" fillId="3" borderId="0" xfId="0" applyFill="1"/>
    <xf numFmtId="0" fontId="0" fillId="3" borderId="0" xfId="0" applyFill="1" applyAlignment="1">
      <alignment horizontal="left"/>
    </xf>
    <xf numFmtId="0" fontId="2" fillId="4" borderId="0" xfId="0" applyFont="1" applyFill="1"/>
    <xf numFmtId="0" fontId="4" fillId="4" borderId="0" xfId="0" applyFont="1" applyFill="1" applyAlignment="1">
      <alignment horizontal="left" vertical="center" wrapText="1" readingOrder="1"/>
    </xf>
    <xf numFmtId="0" fontId="0" fillId="2" borderId="0" xfId="0" applyFill="1" applyAlignment="1">
      <alignment horizontal="left"/>
    </xf>
    <xf numFmtId="165" fontId="0" fillId="2" borderId="0" xfId="0" applyNumberFormat="1" applyFill="1" applyAlignment="1">
      <alignment horizontal="left"/>
    </xf>
    <xf numFmtId="0" fontId="1" fillId="4" borderId="0" xfId="0" applyFont="1" applyFill="1"/>
    <xf numFmtId="0" fontId="1" fillId="4" borderId="0" xfId="0" applyFont="1" applyFill="1" applyAlignment="1">
      <alignment horizontal="left"/>
    </xf>
    <xf numFmtId="0" fontId="3" fillId="0" borderId="0" xfId="1" applyAlignment="1">
      <alignment horizontal="left"/>
    </xf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166" fontId="0" fillId="0" borderId="0" xfId="2" applyNumberFormat="1" applyFont="1" applyAlignment="1">
      <alignment horizontal="center"/>
    </xf>
    <xf numFmtId="44" fontId="0" fillId="0" borderId="0" xfId="3" applyFont="1" applyAlignment="1">
      <alignment horizontal="left"/>
    </xf>
    <xf numFmtId="44" fontId="0" fillId="2" borderId="0" xfId="3" applyFont="1" applyFill="1" applyAlignment="1">
      <alignment horizontal="left"/>
    </xf>
    <xf numFmtId="0" fontId="6" fillId="0" borderId="0" xfId="4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65" fontId="0" fillId="2" borderId="0" xfId="0" applyNumberFormat="1" applyFill="1" applyAlignment="1">
      <alignment horizontal="center"/>
    </xf>
  </cellXfs>
  <cellStyles count="5">
    <cellStyle name="Comma" xfId="2" builtinId="3"/>
    <cellStyle name="Currency" xfId="3" builtinId="4"/>
    <cellStyle name="Hyperlink" xfId="1" builtinId="8"/>
    <cellStyle name="Normal" xfId="0" builtinId="0"/>
    <cellStyle name="Normal 2" xfId="4" xr:uid="{A7A19113-E759-4375-94B9-FB342EFB38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33338</xdr:colOff>
      <xdr:row>34</xdr:row>
      <xdr:rowOff>123825</xdr:rowOff>
    </xdr:from>
    <xdr:to>
      <xdr:col>12</xdr:col>
      <xdr:colOff>775031</xdr:colOff>
      <xdr:row>116</xdr:row>
      <xdr:rowOff>2306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E7EB3104-D753-F893-076E-7762F24418FD}"/>
            </a:ext>
          </a:extLst>
        </xdr:cNvPr>
        <xdr:cNvGrpSpPr/>
      </xdr:nvGrpSpPr>
      <xdr:grpSpPr>
        <a:xfrm>
          <a:off x="33338" y="6276975"/>
          <a:ext cx="10161918" cy="14718431"/>
          <a:chOff x="10906125" y="76200"/>
          <a:chExt cx="10057143" cy="14724781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33CBF7A9-95C8-D854-16D0-426A2BCE8CD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0906125" y="76200"/>
            <a:ext cx="10057143" cy="7857143"/>
          </a:xfrm>
          <a:prstGeom prst="rect">
            <a:avLst/>
          </a:prstGeom>
        </xdr:spPr>
      </xdr:pic>
      <xdr:pic>
        <xdr:nvPicPr>
          <xdr:cNvPr id="3" name="Picture 2">
            <a:extLst>
              <a:ext uri="{FF2B5EF4-FFF2-40B4-BE49-F238E27FC236}">
                <a16:creationId xmlns:a16="http://schemas.microsoft.com/office/drawing/2014/main" id="{91665920-99F2-81F0-9FD5-D55DE720C4B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1001375" y="7848600"/>
            <a:ext cx="9855200" cy="6952381"/>
          </a:xfrm>
          <a:prstGeom prst="rect">
            <a:avLst/>
          </a:prstGeom>
        </xdr:spPr>
      </xdr:pic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9CCB3DF-41DF-40F9-8C51-ABDBDD8FD234}" name="UpdatedBOMTable" displayName="UpdatedBOMTable" ref="A3:F12">
  <autoFilter ref="A3:F12" xr:uid="{99CCB3DF-41DF-40F9-8C51-ABDBDD8FD234}"/>
  <tableColumns count="6">
    <tableColumn id="1" xr3:uid="{6DEB4F4B-2EEE-400E-9735-62ACC34A8CDB}" name="Item"/>
    <tableColumn id="2" xr3:uid="{A04669CC-2B9B-42C6-981B-5363B4736B79}" name="Description"/>
    <tableColumn id="3" xr3:uid="{0984F5D2-197E-4441-87C5-9E52753AFB57}" name="Qty"/>
    <tableColumn id="4" xr3:uid="{61F7CC77-6629-4EA7-951B-F42F82A9D29E}" name="Est. Unit Price"/>
    <tableColumn id="5" xr3:uid="{42FBF3B9-E804-4582-8233-65CA953200CA}" name="Total"/>
    <tableColumn id="6" xr3:uid="{909948E1-3ACE-468F-AA5E-F0F6C62E9A1D}" name="Home Depot Lin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s.com/products/11556.html?now_cid=63" TargetMode="External"/><Relationship Id="rId13" Type="http://schemas.openxmlformats.org/officeDocument/2006/relationships/hyperlink" Target="https://www.amazon.com/SONOFF-Gateway-Universal-Assistant-Wireless/dp/B09KXTCMSC" TargetMode="External"/><Relationship Id="rId18" Type="http://schemas.openxmlformats.org/officeDocument/2006/relationships/hyperlink" Target="https://www.amazon.com/ORICO-NVMe-Enclosure-Gbps-Support/dp/B08G14NBCS/ref=sr_1_2_sspa?crid=7HN322Q73H9H&amp;dib=eyJ2IjoiMSJ9.x_YoLcFRQVDp6Pz0sZASPeQ1Wz5Ffo4x1prDipqSEJVuNjcz7rhCfSCGAhiUOwG4iRzioB7AOdN6aq8ta5cWM2FG_GjgRqcSDrYMqppYo1WHIpIOnWLD9EM0x4BcAPDvlIqALSR7cxuMVCQy-OkAsINGQcmSIMcboFUG-BhBkYqYDk9g_nObSvGPQBMZpBEZKXRC5khHDym4yMFFlnLs3vS9VNY7hS5HS-sR-_l4GD0.Guk8t5AkEyBDFK5IVx4Bb__eez_piQOacBbBfjhjGxs&amp;dib_tag=se&amp;keywords=nvme%2Bstick&amp;qid=1760728128&amp;sprefix=500gb%2Bnvme%2Bstick%2Caps%2C187&amp;sr=8-2-spons&amp;sp_csd=d2lkZ2V0TmFtZT1zcF9hdGY&amp;th=1" TargetMode="External"/><Relationship Id="rId3" Type="http://schemas.openxmlformats.org/officeDocument/2006/relationships/hyperlink" Target="https://www.amazon.com/Surge-Protector-Power-Strip-Extension/dp/B0D9JTBD52" TargetMode="External"/><Relationship Id="rId7" Type="http://schemas.openxmlformats.org/officeDocument/2006/relationships/hyperlink" Target="https://www.fs.com/shopping_cart.html" TargetMode="External"/><Relationship Id="rId12" Type="http://schemas.openxmlformats.org/officeDocument/2006/relationships/hyperlink" Target="https://www.amazon.com/THIRDREALITY-Monitoring-Certified-Compatible-SmartThing/dp/B0BPY2KRHH/ref=sr_1_11" TargetMode="External"/><Relationship Id="rId17" Type="http://schemas.openxmlformats.org/officeDocument/2006/relationships/hyperlink" Target="https://www.amazon.com/gp/aw/d/B01LW6V9ZY?th=1" TargetMode="External"/><Relationship Id="rId2" Type="http://schemas.openxmlformats.org/officeDocument/2006/relationships/hyperlink" Target="https://www.amazon.com/Nooelec-Lana-Accessories-20MHz-4000MHz-Capability/dp/B07XNLJ9X2/ref=sr_1_20?dib=eyJ2IjoiMSJ9.WuvK97pyW8FXMhDVXh9XDtz4G5h4BIryxVQ_2gwzn7XGjHj071QN20LucGBJIEps.07BHW090LmNNJqdej7hQMjMxkyZvOxLwUm1d9w8xzEI&amp;dib_tag=se&amp;keywords=nooelec+sawbird&amp;qid=1763416314&amp;sr=8-20&amp;xpid=eIbC1A6TOepAu" TargetMode="External"/><Relationship Id="rId16" Type="http://schemas.openxmlformats.org/officeDocument/2006/relationships/hyperlink" Target="https://www.amazon.com/dp/B095BY5QRH" TargetMode="External"/><Relationship Id="rId1" Type="http://schemas.openxmlformats.org/officeDocument/2006/relationships/hyperlink" Target="https://www.minicircuits.com/WebStore/dashboard.html?model=ZABP-587-S%2B" TargetMode="External"/><Relationship Id="rId6" Type="http://schemas.openxmlformats.org/officeDocument/2006/relationships/hyperlink" Target="https://www.fs.com/products/11774.html?now_cid=81" TargetMode="External"/><Relationship Id="rId11" Type="http://schemas.openxmlformats.org/officeDocument/2006/relationships/hyperlink" Target="https://www.amazon.com/GL-iNet-GL-SFT1200-Secure-Travel-Router/dp/B09N72FMH5/ref=sr_1_1_sspa" TargetMode="External"/><Relationship Id="rId5" Type="http://schemas.openxmlformats.org/officeDocument/2006/relationships/hyperlink" Target="https://www.amazon.com/Port-2-5G-10G-SFP-NICGIGA/dp/B0DNDSXHCK" TargetMode="External"/><Relationship Id="rId15" Type="http://schemas.openxmlformats.org/officeDocument/2006/relationships/hyperlink" Target="https://www.amazon.com/Charger-Android-Charging-Compatible-Samsung/dp/B08LPBWG18" TargetMode="External"/><Relationship Id="rId10" Type="http://schemas.openxmlformats.org/officeDocument/2006/relationships/hyperlink" Target="https://www.amazon.com/PHILIPS-Frameless-Replacement-Warranty-241V8LB/dp/B0C8ZKV5R9/ref=sr_1_5?crid=3MB7TM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www.amazon.com/Cat6-100ft-Ethernet-Network-Internet/dp/B0DC6VNTDH/ref=sr_1_4" TargetMode="External"/><Relationship Id="rId9" Type="http://schemas.openxmlformats.org/officeDocument/2006/relationships/hyperlink" Target="https://www.amazon.com/KingSpec-512GB-NVMe-Gen3x4-2280/dp/B0D1R5VQRG/ref=sr_1_1_sspa?crid=315OWESAKPJGZ&amp;dib=eyJ2IjoiMSJ9.z1WGxbyYkI8kMwrLL41w9oYGvs8ewydsNxt4O9Zbr2bAh44uocV2eJAoM2OYeYtqZkODRh47XD5NIR9ZpRORbNb835391xT5qcUYwY6z331FQ3cH6kULg0_0KWBIggJASrJU2cfPl1pyheIlN4_9A4DbzO-FGJfkJIBkNGsozUqYjuDPTvVaRft1EWFbEkbbGkra0uAxnphX_37YBKGQzTB3mBfPldLBlodewYSodGk.uPovzUd5oHg13uVVuIb6DtghPqU116II9I8hQ5GKvTk&amp;dib_tag=se&amp;keywords=nvme%2Bstick%2B500gb&amp;qid=1760728166&amp;sprefix=nvme%2Bstick%2Caps%2C151&amp;sr=8-1-spons&amp;sp_csd=d2lkZ2V0TmFtZT1zcF9hdGY&amp;th=1" TargetMode="External"/><Relationship Id="rId14" Type="http://schemas.openxmlformats.org/officeDocument/2006/relationships/hyperlink" Target="https://www.amazon.com/VEVOR-Enclosure-Ground-Mounted-Capacity-Equipment/dp/B0C8T7WHX2/ref=sr_1_3?th=1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/XRDS-RF-Antenna-Bracket-U-Bolts-Outside/dp/B0BMQ2YKPC?th=1" TargetMode="External"/><Relationship Id="rId2" Type="http://schemas.openxmlformats.org/officeDocument/2006/relationships/hyperlink" Target="https://www.amazon.com/pingbingding-Antenna-Outdoor-Motorized-Rotation/dp/B07JN6FNZ4" TargetMode="External"/><Relationship Id="rId1" Type="http://schemas.openxmlformats.org/officeDocument/2006/relationships/hyperlink" Target="https://www.amazon.com/wireless-USB-WiFi-Adapter-PC/dp/B07P5PRK7J" TargetMode="External"/><Relationship Id="rId5" Type="http://schemas.openxmlformats.org/officeDocument/2006/relationships/hyperlink" Target="https://www.amazon.com/Arlington-EB1212-1-Electronic-Equipment-Non-Metallic/dp/B00AAU5D6Q?th=1" TargetMode="External"/><Relationship Id="rId4" Type="http://schemas.openxmlformats.org/officeDocument/2006/relationships/hyperlink" Target="https://www.amazon.com/WA-2608-Amplified-Mounting-Wireless-Rotation/dp/B0748KYTZ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opticutter.com/cut-list-optimizer/resul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AEFA7-39A7-44BE-952F-9C73DCC948D3}">
  <dimension ref="A2:J30"/>
  <sheetViews>
    <sheetView tabSelected="1" zoomScale="130" zoomScaleNormal="130" workbookViewId="0">
      <selection activeCell="F11" sqref="F11"/>
    </sheetView>
  </sheetViews>
  <sheetFormatPr defaultRowHeight="15" customHeight="1"/>
  <cols>
    <col min="1" max="1" width="7.42578125" style="21" customWidth="1"/>
    <col min="2" max="2" width="46.5703125" customWidth="1"/>
    <col min="3" max="3" width="15.42578125" style="1" bestFit="1" customWidth="1"/>
    <col min="4" max="4" width="8.7109375" style="21"/>
    <col min="5" max="5" width="11.42578125" style="1" bestFit="1" customWidth="1"/>
    <col min="6" max="6" width="22.42578125" style="1" customWidth="1"/>
    <col min="7" max="7" width="12.85546875" style="21" customWidth="1"/>
    <col min="8" max="8" width="11.140625" style="21" customWidth="1"/>
    <col min="10" max="10" width="21.28515625" customWidth="1"/>
  </cols>
  <sheetData>
    <row r="2" spans="1:10">
      <c r="A2" s="20" t="s">
        <v>0</v>
      </c>
      <c r="B2" s="17" t="s">
        <v>1</v>
      </c>
      <c r="C2" s="18" t="s">
        <v>2</v>
      </c>
      <c r="D2" s="20" t="s">
        <v>3</v>
      </c>
      <c r="E2" s="18" t="s">
        <v>4</v>
      </c>
      <c r="F2" s="18" t="s">
        <v>5</v>
      </c>
      <c r="G2" s="20" t="s">
        <v>6</v>
      </c>
      <c r="H2" s="20" t="s">
        <v>7</v>
      </c>
      <c r="I2" s="17" t="s">
        <v>8</v>
      </c>
      <c r="J2" s="18" t="s">
        <v>9</v>
      </c>
    </row>
    <row r="3" spans="1:10">
      <c r="A3" s="21">
        <v>1</v>
      </c>
      <c r="B3" s="8" t="s">
        <v>10</v>
      </c>
      <c r="C3" s="23">
        <v>15</v>
      </c>
      <c r="D3" s="22">
        <v>1</v>
      </c>
      <c r="E3" s="23">
        <f t="shared" ref="E3:E18" si="0">C3*D3</f>
        <v>15</v>
      </c>
      <c r="F3" s="1" t="s">
        <v>11</v>
      </c>
      <c r="G3" s="21" t="s">
        <v>12</v>
      </c>
      <c r="H3" s="21" t="s">
        <v>12</v>
      </c>
      <c r="I3" s="3" t="s">
        <v>13</v>
      </c>
    </row>
    <row r="4" spans="1:10">
      <c r="A4" s="21">
        <v>2</v>
      </c>
      <c r="B4" s="8" t="s">
        <v>14</v>
      </c>
      <c r="C4" s="23">
        <v>35</v>
      </c>
      <c r="D4" s="22">
        <v>1</v>
      </c>
      <c r="E4" s="23">
        <f t="shared" si="0"/>
        <v>35</v>
      </c>
      <c r="F4" s="1" t="s">
        <v>11</v>
      </c>
      <c r="G4" s="21" t="s">
        <v>12</v>
      </c>
      <c r="H4" s="21" t="s">
        <v>12</v>
      </c>
      <c r="I4" s="3" t="s">
        <v>15</v>
      </c>
    </row>
    <row r="5" spans="1:10">
      <c r="A5" s="21">
        <v>3</v>
      </c>
      <c r="B5" s="8" t="s">
        <v>16</v>
      </c>
      <c r="C5" s="23">
        <v>105</v>
      </c>
      <c r="D5" s="22">
        <v>0</v>
      </c>
      <c r="E5" s="23">
        <f t="shared" si="0"/>
        <v>0</v>
      </c>
      <c r="G5" s="21" t="s">
        <v>12</v>
      </c>
      <c r="H5" s="21" t="s">
        <v>12</v>
      </c>
      <c r="I5" s="19" t="s">
        <v>17</v>
      </c>
    </row>
    <row r="6" spans="1:10">
      <c r="A6" s="21">
        <v>4</v>
      </c>
      <c r="B6" s="8" t="s">
        <v>18</v>
      </c>
      <c r="C6" s="23">
        <v>35</v>
      </c>
      <c r="D6" s="22">
        <v>2</v>
      </c>
      <c r="E6" s="23">
        <f t="shared" si="0"/>
        <v>70</v>
      </c>
      <c r="G6" s="21" t="s">
        <v>19</v>
      </c>
      <c r="H6" s="21" t="s">
        <v>19</v>
      </c>
      <c r="I6" s="3" t="s">
        <v>20</v>
      </c>
    </row>
    <row r="7" spans="1:10">
      <c r="A7" s="21">
        <v>5</v>
      </c>
      <c r="B7" s="8" t="s">
        <v>21</v>
      </c>
      <c r="C7" s="23">
        <v>50</v>
      </c>
      <c r="D7" s="22">
        <v>2</v>
      </c>
      <c r="E7" s="23">
        <f t="shared" si="0"/>
        <v>100</v>
      </c>
      <c r="G7" s="21" t="s">
        <v>22</v>
      </c>
      <c r="H7" s="21" t="s">
        <v>22</v>
      </c>
      <c r="I7" s="3" t="s">
        <v>23</v>
      </c>
    </row>
    <row r="8" spans="1:10">
      <c r="A8" s="21">
        <v>6</v>
      </c>
      <c r="B8" s="8" t="s">
        <v>24</v>
      </c>
      <c r="C8" s="23">
        <v>8</v>
      </c>
      <c r="D8" s="22">
        <v>2</v>
      </c>
      <c r="E8" s="23">
        <f t="shared" si="0"/>
        <v>16</v>
      </c>
      <c r="G8" s="21" t="s">
        <v>19</v>
      </c>
      <c r="H8" s="21" t="s">
        <v>19</v>
      </c>
      <c r="I8" s="3" t="s">
        <v>25</v>
      </c>
    </row>
    <row r="9" spans="1:10">
      <c r="A9" s="21">
        <v>7</v>
      </c>
      <c r="B9" s="8" t="s">
        <v>26</v>
      </c>
      <c r="C9" s="23">
        <v>30</v>
      </c>
      <c r="D9" s="22">
        <v>2</v>
      </c>
      <c r="E9" s="23">
        <f t="shared" si="0"/>
        <v>60</v>
      </c>
      <c r="G9" s="21" t="s">
        <v>19</v>
      </c>
      <c r="H9" s="21" t="s">
        <v>19</v>
      </c>
      <c r="I9" s="3" t="s">
        <v>27</v>
      </c>
    </row>
    <row r="10" spans="1:10" ht="28.5">
      <c r="A10" s="21">
        <v>8</v>
      </c>
      <c r="B10" s="8" t="s">
        <v>28</v>
      </c>
      <c r="C10" s="23">
        <v>40</v>
      </c>
      <c r="D10" s="22">
        <v>1</v>
      </c>
      <c r="E10" s="23">
        <f t="shared" si="0"/>
        <v>40</v>
      </c>
      <c r="G10" s="21" t="s">
        <v>19</v>
      </c>
      <c r="I10" s="3" t="s">
        <v>29</v>
      </c>
    </row>
    <row r="11" spans="1:10">
      <c r="A11" s="21">
        <v>9</v>
      </c>
      <c r="B11" s="8" t="s">
        <v>30</v>
      </c>
      <c r="C11" s="23">
        <v>9</v>
      </c>
      <c r="D11" s="22">
        <v>1</v>
      </c>
      <c r="E11" s="23">
        <f t="shared" si="0"/>
        <v>9</v>
      </c>
      <c r="F11" s="1" t="s">
        <v>31</v>
      </c>
      <c r="G11" s="21" t="s">
        <v>32</v>
      </c>
      <c r="H11" s="21" t="s">
        <v>12</v>
      </c>
      <c r="I11" s="3" t="s">
        <v>33</v>
      </c>
    </row>
    <row r="12" spans="1:10">
      <c r="A12" s="21">
        <v>10</v>
      </c>
      <c r="B12" s="8" t="s">
        <v>34</v>
      </c>
      <c r="C12" s="23">
        <v>6</v>
      </c>
      <c r="D12" s="22">
        <v>1</v>
      </c>
      <c r="E12" s="23">
        <f t="shared" si="0"/>
        <v>6</v>
      </c>
      <c r="G12" s="21" t="s">
        <v>19</v>
      </c>
      <c r="H12" s="21" t="s">
        <v>19</v>
      </c>
      <c r="I12" s="3" t="s">
        <v>35</v>
      </c>
    </row>
    <row r="13" spans="1:10">
      <c r="A13" s="21">
        <v>11</v>
      </c>
      <c r="B13" s="8" t="s">
        <v>36</v>
      </c>
      <c r="C13" s="23">
        <v>9</v>
      </c>
      <c r="D13" s="22">
        <v>1</v>
      </c>
      <c r="E13" s="23">
        <f t="shared" si="0"/>
        <v>9</v>
      </c>
      <c r="G13" s="21" t="s">
        <v>19</v>
      </c>
      <c r="H13" s="21" t="s">
        <v>19</v>
      </c>
      <c r="I13" s="3" t="s">
        <v>37</v>
      </c>
    </row>
    <row r="14" spans="1:10">
      <c r="A14" s="21">
        <v>12</v>
      </c>
      <c r="B14" s="8" t="s">
        <v>38</v>
      </c>
      <c r="C14" s="23">
        <v>20</v>
      </c>
      <c r="D14" s="22">
        <v>1</v>
      </c>
      <c r="E14" s="23">
        <f t="shared" si="0"/>
        <v>20</v>
      </c>
      <c r="G14" s="21" t="s">
        <v>19</v>
      </c>
      <c r="H14" s="21" t="s">
        <v>19</v>
      </c>
      <c r="I14" s="3" t="s">
        <v>39</v>
      </c>
    </row>
    <row r="15" spans="1:10">
      <c r="A15" s="21">
        <v>13</v>
      </c>
      <c r="B15" s="8" t="s">
        <v>40</v>
      </c>
      <c r="C15" s="23">
        <v>35</v>
      </c>
      <c r="D15" s="22">
        <v>1</v>
      </c>
      <c r="E15" s="23">
        <f t="shared" si="0"/>
        <v>35</v>
      </c>
      <c r="G15" s="21" t="s">
        <v>19</v>
      </c>
      <c r="H15" s="21" t="s">
        <v>19</v>
      </c>
      <c r="I15" s="3" t="s">
        <v>41</v>
      </c>
    </row>
    <row r="16" spans="1:10">
      <c r="A16" s="21">
        <v>14</v>
      </c>
      <c r="B16" s="8" t="s">
        <v>42</v>
      </c>
      <c r="C16" s="23">
        <v>80</v>
      </c>
      <c r="D16" s="22">
        <v>1</v>
      </c>
      <c r="E16" s="23">
        <f t="shared" si="0"/>
        <v>80</v>
      </c>
      <c r="G16" s="21" t="s">
        <v>19</v>
      </c>
      <c r="H16" s="21" t="s">
        <v>19</v>
      </c>
      <c r="I16" s="3" t="s">
        <v>43</v>
      </c>
    </row>
    <row r="17" spans="1:9">
      <c r="A17" s="21">
        <v>15</v>
      </c>
      <c r="B17" s="8" t="s">
        <v>44</v>
      </c>
      <c r="C17" s="23">
        <v>11</v>
      </c>
      <c r="D17" s="22">
        <v>1</v>
      </c>
      <c r="E17" s="23">
        <f t="shared" si="0"/>
        <v>11</v>
      </c>
      <c r="G17" s="21" t="s">
        <v>19</v>
      </c>
      <c r="H17" s="21" t="s">
        <v>19</v>
      </c>
      <c r="I17" s="3" t="s">
        <v>45</v>
      </c>
    </row>
    <row r="18" spans="1:9">
      <c r="A18" s="21">
        <v>16</v>
      </c>
      <c r="B18" s="8" t="s">
        <v>46</v>
      </c>
      <c r="C18" s="23">
        <v>40</v>
      </c>
      <c r="D18" s="22">
        <v>1</v>
      </c>
      <c r="E18" s="23">
        <f t="shared" si="0"/>
        <v>40</v>
      </c>
      <c r="F18" s="1" t="s">
        <v>47</v>
      </c>
      <c r="G18" s="21" t="s">
        <v>19</v>
      </c>
      <c r="H18" s="21" t="s">
        <v>19</v>
      </c>
      <c r="I18" s="3" t="s">
        <v>48</v>
      </c>
    </row>
    <row r="19" spans="1:9">
      <c r="A19" s="21">
        <v>17</v>
      </c>
      <c r="B19" s="8" t="s">
        <v>49</v>
      </c>
      <c r="C19" s="23">
        <v>35</v>
      </c>
      <c r="D19" s="22">
        <v>0</v>
      </c>
      <c r="E19" s="23">
        <f>C19*D19</f>
        <v>0</v>
      </c>
      <c r="G19" s="21" t="s">
        <v>12</v>
      </c>
      <c r="H19" s="21" t="s">
        <v>12</v>
      </c>
      <c r="I19" s="3" t="s">
        <v>50</v>
      </c>
    </row>
    <row r="20" spans="1:9">
      <c r="A20" s="21">
        <v>18</v>
      </c>
      <c r="B20" t="s">
        <v>51</v>
      </c>
      <c r="C20" s="23">
        <v>130</v>
      </c>
      <c r="D20" s="22">
        <v>1</v>
      </c>
      <c r="E20" s="23">
        <f>C20*D20</f>
        <v>130</v>
      </c>
      <c r="G20" s="21" t="s">
        <v>19</v>
      </c>
      <c r="H20" s="21" t="s">
        <v>19</v>
      </c>
      <c r="I20" s="3" t="s">
        <v>52</v>
      </c>
    </row>
    <row r="21" spans="1:9">
      <c r="A21" s="26" t="s">
        <v>53</v>
      </c>
      <c r="B21" s="26"/>
      <c r="C21" s="26"/>
      <c r="D21" s="26"/>
      <c r="E21" s="24">
        <f>SUM(E3:E20)</f>
        <v>676</v>
      </c>
      <c r="F21" s="16"/>
      <c r="G21" s="28"/>
      <c r="H21" s="28"/>
      <c r="I21" s="3"/>
    </row>
    <row r="24" spans="1:9">
      <c r="A24" s="5"/>
      <c r="B24" s="5"/>
      <c r="C24" s="6"/>
    </row>
    <row r="30" spans="1:9" ht="68.099999999999994" customHeight="1"/>
  </sheetData>
  <mergeCells count="1">
    <mergeCell ref="A21:D21"/>
  </mergeCells>
  <hyperlinks>
    <hyperlink ref="I5" r:id="rId1" xr:uid="{807414A9-EFB8-44F9-B374-C2B808AFEC0F}"/>
    <hyperlink ref="I6" r:id="rId2" display="https://www.amazon.com/Nooelec-Lana-Accessories-20MHz-4000MHz-Capability/dp/B07XNLJ9X2/ref=sr_1_20?dib=eyJ2IjoiMSJ9.WuvK97pyW8FXMhDVXh9XDtz4G5h4BIryxVQ_2gwzn7XGjHj071QN20LucGBJIEps.07BHW090LmNNJqdej7hQMjMxkyZvOxLwUm1d9w8xzEI&amp;dib_tag=se&amp;keywords=nooelec+sawbird&amp;qid=1763416314&amp;sr=8-20&amp;xpid=eIbC1A6TOepAu" xr:uid="{F2F084AA-8E75-4194-9609-EC6D1BA454F9}"/>
    <hyperlink ref="I11" r:id="rId3" tooltip="https://www.amazon.com/surge-protector-power-strip-extension/dp/b0d9jtbd52" xr:uid="{7C0CE9E2-6613-4730-8186-BAC09EF91722}"/>
    <hyperlink ref="I15" r:id="rId4" xr:uid="{61AA523B-2453-46E5-A23B-C22A26FDE8C6}"/>
    <hyperlink ref="I7" r:id="rId5" xr:uid="{36684869-B45D-496D-8F8F-3F036A50621E}"/>
    <hyperlink ref="I8" r:id="rId6" xr:uid="{5B564338-6FCB-4E34-8F44-C78545EF154C}"/>
    <hyperlink ref="I10" r:id="rId7" xr:uid="{D194E44D-153C-43B5-8500-F4C89C6E298E}"/>
    <hyperlink ref="I9" r:id="rId8" xr:uid="{AF5534F4-A58E-410D-A53C-1A7773BB2FC9}"/>
    <hyperlink ref="I4" r:id="rId9" display="https://www.amazon.com/KingSpec-512GB-NVMe-Gen3x4-2280/dp/B0D1R5VQRG/ref=sr_1_1_sspa?crid=315OWESAKPJGZ&amp;dib=eyJ2IjoiMSJ9.z1WGxbyYkI8kMwrLL41w9oYGvs8ewydsNxt4O9Zbr2bAh44uocV2eJAoM2OYeYtqZkODRh47XD5NIR9ZpRORbNb835391xT5qcUYwY6z331FQ3cH6kULg0_0KWBIggJASrJU2cfPl1pyheIlN4_9A4DbzO-FGJfkJIBkNGsozUqYjuDPTvVaRft1EWFbEkbbGkra0uAxnphX_37YBKGQzTB3mBfPldLBlodewYSodGk.uPovzUd5oHg13uVVuIb6DtghPqU116II9I8hQ5GKvTk&amp;dib_tag=se&amp;keywords=nvme%2Bstick%2B500gb&amp;qid=1760728166&amp;sprefix=nvme%2Bstick%2Caps%2C151&amp;sr=8-1-spons&amp;sp_csd=d2lkZ2V0TmFtZT1zcF9hdGY&amp;th=1" xr:uid="{78BA1B44-B6E2-45CD-8472-D1B0E8BAA22C}"/>
    <hyperlink ref="I16" r:id="rId10" xr:uid="{9D7BF3D3-1A28-42FB-85B3-A69716F3A3D5}"/>
    <hyperlink ref="I19" r:id="rId11" xr:uid="{5F28719D-307C-4E1F-A10C-4CF7E2BCF794}"/>
    <hyperlink ref="I17" r:id="rId12" xr:uid="{8BF79B93-3D5A-4733-9458-AE9C912BDF64}"/>
    <hyperlink ref="I18" r:id="rId13" xr:uid="{C190C5C5-8DE9-4788-9600-FC085EAD60DD}"/>
    <hyperlink ref="I20" r:id="rId14" xr:uid="{5C33A86A-9AAF-43F2-B9E3-A3515F75D3F0}"/>
    <hyperlink ref="I12" r:id="rId15" xr:uid="{C9C76EDE-8430-4079-9592-6099E063FDAE}"/>
    <hyperlink ref="I13" r:id="rId16" xr:uid="{AF817AF0-CEB3-4761-B4BE-34129E85B95E}"/>
    <hyperlink ref="I14" r:id="rId17" xr:uid="{B006B6A9-49F5-41D3-9C33-D9C8BEF85630}"/>
    <hyperlink ref="I3" r:id="rId18" display="https://www.amazon.com/ORICO-NVMe-Enclosure-Gbps-Support/dp/B08G14NBCS/ref=sr_1_2_sspa?crid=7HN322Q73H9H&amp;dib=eyJ2IjoiMSJ9.x_YoLcFRQVDp6Pz0sZASPeQ1Wz5Ffo4x1prDipqSEJVuNjcz7rhCfSCGAhiUOwG4iRzioB7AOdN6aq8ta5cWM2FG_GjgRqcSDrYMqppYo1WHIpIOnWLD9EM0x4BcAPDvlIqALSR7cxuMVCQy-OkAsINGQcmSIMcboFUG-BhBkYqYDk9g_nObSvGPQBMZpBEZKXRC5khHDym4yMFFlnLs3vS9VNY7hS5HS-sR-_l4GD0.Guk8t5AkEyBDFK5IVx4Bb__eez_piQOacBbBfjhjGxs&amp;dib_tag=se&amp;keywords=nvme%2Bstick&amp;qid=1760728128&amp;sprefix=500gb%2Bnvme%2Bstick%2Caps%2C187&amp;sr=8-2-spons&amp;sp_csd=d2lkZ2V0TmFtZT1zcF9hdGY&amp;th=1" xr:uid="{BF080475-B81D-4197-969C-C5EE2DD867DA}"/>
  </hyperlinks>
  <pageMargins left="0.7" right="0.7" top="0.75" bottom="0.75" header="0.3" footer="0.3"/>
  <pageSetup orientation="portrait" r:id="rId1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6F15E-8F97-4A6B-9131-819D089099E6}">
  <dimension ref="A1:M24"/>
  <sheetViews>
    <sheetView topLeftCell="A14" workbookViewId="0">
      <selection activeCell="A2" sqref="A2"/>
    </sheetView>
  </sheetViews>
  <sheetFormatPr defaultRowHeight="14.45"/>
  <sheetData>
    <row r="1" spans="1:13">
      <c r="A1" s="27" t="s">
        <v>54</v>
      </c>
      <c r="B1" s="27"/>
      <c r="C1" s="27"/>
      <c r="D1" s="27"/>
      <c r="E1" s="27"/>
      <c r="F1" s="27"/>
    </row>
    <row r="2" spans="1:13" ht="27.95">
      <c r="B2" s="13" t="s">
        <v>55</v>
      </c>
      <c r="C2" s="2"/>
      <c r="D2" s="2"/>
      <c r="E2" s="2"/>
      <c r="F2" s="2"/>
      <c r="H2" s="14" t="s">
        <v>56</v>
      </c>
      <c r="I2" s="8"/>
      <c r="J2" s="4"/>
    </row>
    <row r="3" spans="1:13" ht="42">
      <c r="B3" s="8" t="s">
        <v>57</v>
      </c>
      <c r="C3" s="8" t="s">
        <v>58</v>
      </c>
      <c r="D3" s="8">
        <v>1</v>
      </c>
      <c r="E3" s="8"/>
      <c r="F3" s="8"/>
      <c r="H3" s="8" t="s">
        <v>59</v>
      </c>
      <c r="I3" s="8">
        <v>14</v>
      </c>
      <c r="J3" s="7"/>
      <c r="K3" s="3" t="s">
        <v>60</v>
      </c>
    </row>
    <row r="4" spans="1:13" ht="69.95">
      <c r="B4" s="8" t="s">
        <v>61</v>
      </c>
      <c r="C4" s="8" t="s">
        <v>62</v>
      </c>
      <c r="D4" s="8">
        <v>1</v>
      </c>
      <c r="E4" s="8"/>
      <c r="F4" s="8"/>
      <c r="H4" s="8" t="s">
        <v>63</v>
      </c>
      <c r="I4" s="8">
        <v>35</v>
      </c>
      <c r="J4" s="4"/>
    </row>
    <row r="5" spans="1:13" ht="98.1">
      <c r="B5" s="8" t="s">
        <v>64</v>
      </c>
      <c r="C5" s="8" t="s">
        <v>62</v>
      </c>
      <c r="D5" s="8">
        <v>1</v>
      </c>
      <c r="E5" s="8"/>
      <c r="F5" s="8"/>
      <c r="H5" s="8" t="s">
        <v>65</v>
      </c>
      <c r="I5" s="8" t="s">
        <v>62</v>
      </c>
      <c r="J5" s="2">
        <v>1</v>
      </c>
    </row>
    <row r="6" spans="1:13" ht="237.95">
      <c r="B6" s="8" t="s">
        <v>66</v>
      </c>
      <c r="C6" s="1"/>
      <c r="D6" s="1"/>
      <c r="E6" s="1"/>
      <c r="F6" s="1"/>
      <c r="H6" s="8" t="s">
        <v>67</v>
      </c>
      <c r="I6" s="1">
        <v>45</v>
      </c>
      <c r="J6" s="1">
        <v>2</v>
      </c>
      <c r="K6" s="3" t="s">
        <v>68</v>
      </c>
    </row>
    <row r="7" spans="1:13" ht="140.1">
      <c r="B7" s="8" t="s">
        <v>69</v>
      </c>
      <c r="C7" s="1"/>
      <c r="D7" s="1"/>
      <c r="E7" s="1"/>
      <c r="F7" s="1"/>
      <c r="H7" s="8" t="s">
        <v>70</v>
      </c>
      <c r="I7" s="1">
        <v>18</v>
      </c>
      <c r="J7" s="1">
        <v>2</v>
      </c>
      <c r="K7" t="s">
        <v>71</v>
      </c>
    </row>
    <row r="8" spans="1:13" ht="84">
      <c r="B8" s="8" t="s">
        <v>72</v>
      </c>
      <c r="C8" s="1">
        <v>50</v>
      </c>
      <c r="D8" s="1">
        <v>2</v>
      </c>
      <c r="E8" s="1">
        <f>C8*D8</f>
        <v>100</v>
      </c>
      <c r="F8" s="1"/>
      <c r="G8" s="3" t="s">
        <v>73</v>
      </c>
      <c r="H8" s="8" t="s">
        <v>74</v>
      </c>
      <c r="I8" s="1">
        <v>65</v>
      </c>
      <c r="J8" s="1">
        <v>1</v>
      </c>
      <c r="K8" s="1">
        <f>I8*J8</f>
        <v>65</v>
      </c>
      <c r="L8" t="s">
        <v>75</v>
      </c>
    </row>
    <row r="9" spans="1:13" ht="42">
      <c r="B9" s="8" t="s">
        <v>76</v>
      </c>
      <c r="C9" s="1">
        <v>6.2</v>
      </c>
      <c r="D9" s="1">
        <v>4</v>
      </c>
      <c r="E9" s="1">
        <f>C9*D9</f>
        <v>24.8</v>
      </c>
      <c r="F9" s="1"/>
      <c r="G9" t="s">
        <v>77</v>
      </c>
      <c r="H9" s="8" t="s">
        <v>78</v>
      </c>
      <c r="I9" s="1">
        <v>250</v>
      </c>
      <c r="J9" s="1">
        <v>1</v>
      </c>
      <c r="K9" s="1">
        <f>I9*J9</f>
        <v>250</v>
      </c>
      <c r="L9" s="1"/>
      <c r="M9" t="s">
        <v>79</v>
      </c>
    </row>
    <row r="10" spans="1:13" ht="111.95">
      <c r="B10" s="8" t="s">
        <v>80</v>
      </c>
      <c r="C10" s="1">
        <v>120</v>
      </c>
      <c r="D10" s="1">
        <v>1</v>
      </c>
      <c r="E10" s="1">
        <f>C10*D10</f>
        <v>120</v>
      </c>
      <c r="F10" s="1"/>
      <c r="G10" t="s">
        <v>81</v>
      </c>
      <c r="H10" s="8" t="s">
        <v>82</v>
      </c>
      <c r="I10" s="1">
        <v>15</v>
      </c>
      <c r="J10" s="1">
        <v>2</v>
      </c>
      <c r="K10" s="1">
        <f>I10*J10</f>
        <v>30</v>
      </c>
      <c r="L10" s="1"/>
      <c r="M10" s="3" t="s">
        <v>83</v>
      </c>
    </row>
    <row r="11" spans="1:13" ht="27.95">
      <c r="B11" s="8" t="s">
        <v>84</v>
      </c>
      <c r="C11" s="1"/>
      <c r="D11" s="1">
        <v>1</v>
      </c>
      <c r="E11" s="1"/>
      <c r="F11" s="1" t="s">
        <v>85</v>
      </c>
      <c r="H11" s="8"/>
      <c r="I11" s="1"/>
      <c r="J11" s="1"/>
    </row>
    <row r="12" spans="1:13" ht="42">
      <c r="B12" s="8" t="s">
        <v>86</v>
      </c>
      <c r="C12" s="1">
        <v>32</v>
      </c>
      <c r="D12" s="1">
        <v>2</v>
      </c>
      <c r="E12" s="1">
        <f>C12*D12</f>
        <v>64</v>
      </c>
      <c r="F12" s="1"/>
      <c r="G12" t="s">
        <v>87</v>
      </c>
      <c r="H12" s="8"/>
      <c r="I12" s="1"/>
      <c r="J12" s="1"/>
    </row>
    <row r="13" spans="1:13" ht="27.95">
      <c r="B13" s="8" t="s">
        <v>88</v>
      </c>
      <c r="C13" s="1">
        <v>20</v>
      </c>
      <c r="D13" s="1">
        <v>1</v>
      </c>
      <c r="E13" s="1">
        <v>20</v>
      </c>
      <c r="F13" s="1" t="s">
        <v>89</v>
      </c>
      <c r="H13" s="8"/>
      <c r="I13" s="1"/>
      <c r="J13" s="1"/>
      <c r="M13" t="s">
        <v>90</v>
      </c>
    </row>
    <row r="14" spans="1:13" ht="27.95">
      <c r="B14" s="8" t="s">
        <v>91</v>
      </c>
      <c r="C14" s="1">
        <v>100</v>
      </c>
      <c r="D14" s="1">
        <v>1</v>
      </c>
      <c r="E14" s="1">
        <f>C14*D14</f>
        <v>100</v>
      </c>
      <c r="F14" s="1" t="s">
        <v>92</v>
      </c>
      <c r="G14" s="3" t="s">
        <v>93</v>
      </c>
      <c r="H14" s="8"/>
      <c r="I14" s="1"/>
      <c r="J14" s="1"/>
    </row>
    <row r="15" spans="1:13">
      <c r="B15" s="8"/>
      <c r="C15" s="1"/>
      <c r="D15" s="1"/>
      <c r="E15" s="1"/>
      <c r="F15" s="1"/>
      <c r="H15" s="8"/>
      <c r="I15" s="1"/>
      <c r="J15" s="1"/>
    </row>
    <row r="16" spans="1:13">
      <c r="C16" s="1"/>
      <c r="D16" s="1"/>
      <c r="E16" s="1"/>
      <c r="F16" s="1"/>
    </row>
    <row r="17" spans="1:6">
      <c r="A17" s="11" t="s">
        <v>94</v>
      </c>
      <c r="B17" s="11"/>
      <c r="C17" s="12"/>
      <c r="D17" s="1"/>
      <c r="E17" s="1"/>
      <c r="F17" s="1"/>
    </row>
    <row r="18" spans="1:6">
      <c r="A18" t="s">
        <v>95</v>
      </c>
      <c r="B18" s="9">
        <f>SQRT(8.5^2+11^2)+0.1</f>
        <v>14.001438774457844</v>
      </c>
      <c r="C18" s="1" t="s">
        <v>96</v>
      </c>
      <c r="D18" s="1"/>
      <c r="E18" s="1"/>
      <c r="F18" s="1"/>
    </row>
    <row r="19" spans="1:6">
      <c r="A19" t="s">
        <v>97</v>
      </c>
      <c r="B19" s="10">
        <f>B18/3.1415</f>
        <v>4.4569278288899712</v>
      </c>
      <c r="C19" s="15" t="s">
        <v>98</v>
      </c>
      <c r="D19" s="1"/>
      <c r="E19" s="1"/>
      <c r="F19" s="1"/>
    </row>
    <row r="20" spans="1:6">
      <c r="C20" s="1"/>
      <c r="D20" s="1"/>
      <c r="E20" s="1"/>
      <c r="F20" s="1"/>
    </row>
    <row r="21" spans="1:6">
      <c r="A21" t="s">
        <v>99</v>
      </c>
      <c r="B21" s="9">
        <f>6+7/8</f>
        <v>6.875</v>
      </c>
      <c r="C21" s="1" t="s">
        <v>96</v>
      </c>
      <c r="D21" s="1"/>
      <c r="E21" s="1"/>
      <c r="F21" s="1"/>
    </row>
    <row r="22" spans="1:6">
      <c r="A22" t="s">
        <v>100</v>
      </c>
      <c r="B22" s="9">
        <f>2*B21</f>
        <v>13.75</v>
      </c>
      <c r="C22" s="1" t="s">
        <v>101</v>
      </c>
      <c r="D22" s="1"/>
      <c r="E22" s="1"/>
      <c r="F22" s="1"/>
    </row>
    <row r="23" spans="1:6">
      <c r="A23" t="s">
        <v>97</v>
      </c>
      <c r="B23" s="10">
        <f>B22/3.1415</f>
        <v>4.3768900206907526</v>
      </c>
      <c r="C23" s="15" t="s">
        <v>98</v>
      </c>
      <c r="D23" s="1"/>
      <c r="E23" s="1"/>
      <c r="F23" s="1"/>
    </row>
    <row r="24" spans="1:6">
      <c r="C24" s="1"/>
      <c r="D24" s="1"/>
      <c r="E24" s="1"/>
      <c r="F24" s="1"/>
    </row>
  </sheetData>
  <mergeCells count="1">
    <mergeCell ref="A1:F1"/>
  </mergeCells>
  <hyperlinks>
    <hyperlink ref="K3" r:id="rId1" xr:uid="{D0DBDA8E-D06D-4A05-B398-8B27B7DDFC7A}"/>
    <hyperlink ref="K6" r:id="rId2" xr:uid="{B5B64637-B161-4D2C-B22E-6BAA68C75017}"/>
    <hyperlink ref="M10" r:id="rId3" xr:uid="{5B26837E-B27C-4DAA-86EB-A8C3348567FD}"/>
    <hyperlink ref="G8" r:id="rId4" xr:uid="{4422BE86-5DBD-4BE7-9E9F-A341022EC989}"/>
    <hyperlink ref="G14" r:id="rId5" xr:uid="{2D8B5C82-D2A9-4842-AF58-F565B1BB743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063A7-7BBC-4750-A8E4-09525D4D9BA5}">
  <dimension ref="A3:F13"/>
  <sheetViews>
    <sheetView workbookViewId="0">
      <selection activeCell="B6" sqref="B6"/>
    </sheetView>
  </sheetViews>
  <sheetFormatPr defaultRowHeight="14.45"/>
  <cols>
    <col min="1" max="1" width="27.7109375" customWidth="1"/>
    <col min="2" max="2" width="44.42578125" customWidth="1"/>
    <col min="3" max="3" width="12.5703125" customWidth="1"/>
    <col min="6" max="6" width="153" bestFit="1" customWidth="1"/>
  </cols>
  <sheetData>
    <row r="3" spans="1:6">
      <c r="A3" t="s">
        <v>1</v>
      </c>
      <c r="B3" t="s">
        <v>102</v>
      </c>
      <c r="C3" t="s">
        <v>103</v>
      </c>
      <c r="D3" t="s">
        <v>104</v>
      </c>
      <c r="E3" t="s">
        <v>53</v>
      </c>
      <c r="F3" t="s">
        <v>105</v>
      </c>
    </row>
    <row r="4" spans="1:6">
      <c r="A4" t="s">
        <v>106</v>
      </c>
      <c r="B4" t="s">
        <v>107</v>
      </c>
      <c r="C4">
        <v>5</v>
      </c>
      <c r="D4">
        <v>18.98</v>
      </c>
      <c r="E4">
        <v>94.9</v>
      </c>
      <c r="F4" t="s">
        <v>108</v>
      </c>
    </row>
    <row r="5" spans="1:6">
      <c r="A5" t="s">
        <v>109</v>
      </c>
      <c r="B5" t="s">
        <v>110</v>
      </c>
      <c r="C5">
        <v>12</v>
      </c>
      <c r="D5">
        <v>3.5</v>
      </c>
      <c r="E5">
        <v>42</v>
      </c>
      <c r="F5" t="s">
        <v>111</v>
      </c>
    </row>
    <row r="6" spans="1:6">
      <c r="A6" t="s">
        <v>112</v>
      </c>
      <c r="B6" t="s">
        <v>113</v>
      </c>
      <c r="C6">
        <v>24</v>
      </c>
      <c r="D6">
        <v>1.5</v>
      </c>
      <c r="E6">
        <v>36</v>
      </c>
      <c r="F6" t="s">
        <v>111</v>
      </c>
    </row>
    <row r="7" spans="1:6">
      <c r="A7" t="s">
        <v>114</v>
      </c>
      <c r="B7" t="s">
        <v>115</v>
      </c>
      <c r="C7">
        <v>24</v>
      </c>
      <c r="D7">
        <v>0.75</v>
      </c>
      <c r="E7">
        <v>18</v>
      </c>
      <c r="F7" t="s">
        <v>111</v>
      </c>
    </row>
    <row r="8" spans="1:6">
      <c r="A8" t="s">
        <v>116</v>
      </c>
      <c r="B8" t="s">
        <v>117</v>
      </c>
      <c r="C8">
        <v>2</v>
      </c>
      <c r="D8">
        <v>6.5</v>
      </c>
      <c r="E8">
        <v>13</v>
      </c>
      <c r="F8" t="s">
        <v>111</v>
      </c>
    </row>
    <row r="9" spans="1:6">
      <c r="A9" t="s">
        <v>118</v>
      </c>
      <c r="B9" t="s">
        <v>119</v>
      </c>
      <c r="C9">
        <v>2</v>
      </c>
      <c r="D9">
        <v>5.98</v>
      </c>
      <c r="E9">
        <v>11.96</v>
      </c>
      <c r="F9" t="s">
        <v>120</v>
      </c>
    </row>
    <row r="10" spans="1:6">
      <c r="A10" t="s">
        <v>121</v>
      </c>
      <c r="B10" t="s">
        <v>122</v>
      </c>
      <c r="C10">
        <v>2</v>
      </c>
      <c r="D10">
        <v>7.26</v>
      </c>
      <c r="E10">
        <v>14.52</v>
      </c>
      <c r="F10" t="s">
        <v>123</v>
      </c>
    </row>
    <row r="11" spans="1:6">
      <c r="A11" t="s">
        <v>124</v>
      </c>
      <c r="B11" t="s">
        <v>125</v>
      </c>
      <c r="C11">
        <v>4</v>
      </c>
      <c r="D11">
        <v>1.25</v>
      </c>
      <c r="E11">
        <v>5</v>
      </c>
      <c r="F11" t="s">
        <v>111</v>
      </c>
    </row>
    <row r="12" spans="1:6">
      <c r="A12" t="s">
        <v>126</v>
      </c>
      <c r="B12" t="s">
        <v>127</v>
      </c>
      <c r="C12">
        <v>2</v>
      </c>
      <c r="D12">
        <v>6</v>
      </c>
      <c r="E12">
        <v>12</v>
      </c>
      <c r="F12" t="s">
        <v>111</v>
      </c>
    </row>
    <row r="13" spans="1:6">
      <c r="A13" t="s">
        <v>53</v>
      </c>
      <c r="E13">
        <f>SUM(E4:E12)</f>
        <v>247.38000000000002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14E27-F347-463A-9FB8-AB93CD4C55F4}">
  <dimension ref="A1:M34"/>
  <sheetViews>
    <sheetView zoomScaleNormal="100" workbookViewId="0">
      <selection activeCell="B1" sqref="B1"/>
    </sheetView>
  </sheetViews>
  <sheetFormatPr defaultRowHeight="14.45"/>
  <cols>
    <col min="1" max="1" width="2.5703125" bestFit="1" customWidth="1"/>
    <col min="2" max="2" width="17.42578125" bestFit="1" customWidth="1"/>
    <col min="3" max="3" width="5.85546875" bestFit="1" customWidth="1"/>
    <col min="4" max="4" width="8" bestFit="1" customWidth="1"/>
    <col min="5" max="5" width="8" customWidth="1"/>
    <col min="6" max="6" width="16.7109375" customWidth="1"/>
    <col min="7" max="7" width="15.85546875" bestFit="1" customWidth="1"/>
    <col min="9" max="13" width="14.42578125" customWidth="1"/>
  </cols>
  <sheetData>
    <row r="1" spans="1:13">
      <c r="A1" t="s">
        <v>128</v>
      </c>
      <c r="B1" t="s">
        <v>129</v>
      </c>
    </row>
    <row r="2" spans="1:13">
      <c r="A2" t="s">
        <v>130</v>
      </c>
      <c r="B2" t="s">
        <v>131</v>
      </c>
      <c r="I2" s="3" t="s">
        <v>132</v>
      </c>
    </row>
    <row r="3" spans="1:13">
      <c r="A3" t="s">
        <v>133</v>
      </c>
      <c r="B3">
        <v>0.125</v>
      </c>
      <c r="I3" s="25" t="s">
        <v>134</v>
      </c>
      <c r="J3" s="25" t="s">
        <v>135</v>
      </c>
      <c r="K3" s="25"/>
      <c r="L3" s="25"/>
      <c r="M3" s="25"/>
    </row>
    <row r="4" spans="1:13">
      <c r="A4" t="s">
        <v>136</v>
      </c>
      <c r="B4" t="s">
        <v>137</v>
      </c>
      <c r="C4" t="s">
        <v>138</v>
      </c>
      <c r="D4" t="s">
        <v>3</v>
      </c>
      <c r="E4" t="s">
        <v>139</v>
      </c>
      <c r="I4" s="25" t="s">
        <v>140</v>
      </c>
      <c r="J4" s="25"/>
      <c r="K4" s="25"/>
      <c r="L4" s="25"/>
      <c r="M4" s="25"/>
    </row>
    <row r="5" spans="1:13">
      <c r="A5" t="s">
        <v>141</v>
      </c>
      <c r="B5">
        <v>36</v>
      </c>
      <c r="C5">
        <f>29+7/8</f>
        <v>29.875</v>
      </c>
      <c r="D5">
        <v>1</v>
      </c>
      <c r="I5" s="25" t="s">
        <v>142</v>
      </c>
      <c r="J5" s="25"/>
      <c r="K5" s="25"/>
      <c r="L5" s="25"/>
      <c r="M5" s="25"/>
    </row>
    <row r="6" spans="1:13">
      <c r="A6" t="s">
        <v>141</v>
      </c>
      <c r="B6">
        <v>72</v>
      </c>
      <c r="C6">
        <v>14</v>
      </c>
      <c r="D6">
        <v>1</v>
      </c>
      <c r="I6" s="25" t="s">
        <v>137</v>
      </c>
      <c r="J6" s="25" t="s">
        <v>138</v>
      </c>
      <c r="K6" s="25" t="s">
        <v>3</v>
      </c>
      <c r="L6" s="25"/>
      <c r="M6" s="25"/>
    </row>
    <row r="7" spans="1:13">
      <c r="A7" t="s">
        <v>141</v>
      </c>
      <c r="B7">
        <f>23.75+14.125</f>
        <v>37.875</v>
      </c>
      <c r="C7">
        <f>53.75</f>
        <v>53.75</v>
      </c>
      <c r="D7">
        <v>1</v>
      </c>
      <c r="I7" s="25" t="s">
        <v>143</v>
      </c>
      <c r="J7" s="25" t="s">
        <v>144</v>
      </c>
      <c r="K7" s="25">
        <v>1</v>
      </c>
      <c r="L7" s="25"/>
      <c r="M7" s="25"/>
    </row>
    <row r="8" spans="1:13">
      <c r="A8" t="s">
        <v>136</v>
      </c>
      <c r="B8" t="s">
        <v>137</v>
      </c>
      <c r="C8" t="s">
        <v>138</v>
      </c>
      <c r="D8" t="s">
        <v>3</v>
      </c>
      <c r="E8" t="s">
        <v>139</v>
      </c>
      <c r="F8" t="s">
        <v>145</v>
      </c>
      <c r="G8" t="s">
        <v>146</v>
      </c>
      <c r="I8" s="25" t="s">
        <v>147</v>
      </c>
      <c r="J8" s="25" t="s">
        <v>148</v>
      </c>
      <c r="K8" s="25">
        <v>1</v>
      </c>
      <c r="L8" s="25"/>
      <c r="M8" s="25"/>
    </row>
    <row r="9" spans="1:13">
      <c r="A9" t="s">
        <v>149</v>
      </c>
      <c r="B9">
        <v>30</v>
      </c>
      <c r="C9">
        <v>22.5</v>
      </c>
      <c r="D9">
        <v>1</v>
      </c>
      <c r="F9" t="s">
        <v>150</v>
      </c>
      <c r="I9" s="25" t="s">
        <v>53</v>
      </c>
      <c r="J9" s="25" t="s">
        <v>140</v>
      </c>
      <c r="K9" s="25">
        <v>2</v>
      </c>
      <c r="L9" s="25"/>
      <c r="M9" s="25"/>
    </row>
    <row r="10" spans="1:13">
      <c r="A10" t="s">
        <v>149</v>
      </c>
      <c r="B10">
        <f>30</f>
        <v>30</v>
      </c>
      <c r="C10">
        <v>8.25</v>
      </c>
      <c r="D10">
        <v>2</v>
      </c>
      <c r="F10" t="s">
        <v>151</v>
      </c>
      <c r="G10" t="s">
        <v>152</v>
      </c>
      <c r="I10" s="25" t="s">
        <v>140</v>
      </c>
      <c r="J10" s="25"/>
      <c r="K10" s="25"/>
      <c r="L10" s="25"/>
      <c r="M10" s="25"/>
    </row>
    <row r="11" spans="1:13">
      <c r="A11" t="s">
        <v>149</v>
      </c>
      <c r="B11">
        <v>26</v>
      </c>
      <c r="C11">
        <v>10</v>
      </c>
      <c r="D11">
        <v>1</v>
      </c>
      <c r="F11" t="s">
        <v>153</v>
      </c>
      <c r="I11" s="25" t="s">
        <v>140</v>
      </c>
      <c r="J11" s="25"/>
      <c r="K11" s="25"/>
      <c r="L11" s="25"/>
      <c r="M11" s="25"/>
    </row>
    <row r="12" spans="1:13">
      <c r="A12" t="s">
        <v>149</v>
      </c>
      <c r="B12">
        <v>19.5</v>
      </c>
      <c r="C12">
        <v>1.5</v>
      </c>
      <c r="D12">
        <v>4</v>
      </c>
      <c r="F12" t="s">
        <v>154</v>
      </c>
      <c r="I12" s="25" t="s">
        <v>155</v>
      </c>
      <c r="J12" s="25"/>
      <c r="K12" s="25"/>
      <c r="L12" s="25"/>
      <c r="M12" s="25"/>
    </row>
    <row r="13" spans="1:13">
      <c r="A13" t="s">
        <v>149</v>
      </c>
      <c r="B13">
        <f>24</f>
        <v>24</v>
      </c>
      <c r="C13">
        <f>3+9/16</f>
        <v>3.5625</v>
      </c>
      <c r="D13">
        <v>1</v>
      </c>
      <c r="F13" t="s">
        <v>156</v>
      </c>
      <c r="I13" s="25" t="s">
        <v>140</v>
      </c>
      <c r="J13" s="25"/>
      <c r="K13" s="25"/>
      <c r="L13" s="25"/>
      <c r="M13" s="25"/>
    </row>
    <row r="14" spans="1:13">
      <c r="A14" t="s">
        <v>149</v>
      </c>
      <c r="B14">
        <f>24</f>
        <v>24</v>
      </c>
      <c r="C14">
        <f>3</f>
        <v>3</v>
      </c>
      <c r="D14">
        <v>1</v>
      </c>
      <c r="F14" t="s">
        <v>157</v>
      </c>
      <c r="I14" s="25" t="s">
        <v>158</v>
      </c>
      <c r="J14" s="25" t="s">
        <v>159</v>
      </c>
      <c r="K14" s="25" t="s">
        <v>137</v>
      </c>
      <c r="L14" s="25" t="s">
        <v>138</v>
      </c>
      <c r="M14" s="25"/>
    </row>
    <row r="15" spans="1:13">
      <c r="A15" t="s">
        <v>149</v>
      </c>
      <c r="B15">
        <f>27</f>
        <v>27</v>
      </c>
      <c r="C15">
        <v>3</v>
      </c>
      <c r="D15">
        <v>2</v>
      </c>
      <c r="F15" t="s">
        <v>160</v>
      </c>
      <c r="I15" s="25" t="s">
        <v>161</v>
      </c>
      <c r="J15" s="25">
        <v>1</v>
      </c>
      <c r="K15" s="25" t="s">
        <v>143</v>
      </c>
      <c r="L15" s="25" t="s">
        <v>144</v>
      </c>
      <c r="M15" s="25"/>
    </row>
    <row r="16" spans="1:13">
      <c r="A16" t="s">
        <v>149</v>
      </c>
      <c r="B16">
        <f>20.875</f>
        <v>20.875</v>
      </c>
      <c r="C16">
        <v>17.875</v>
      </c>
      <c r="D16">
        <v>1</v>
      </c>
      <c r="F16" t="s">
        <v>162</v>
      </c>
      <c r="I16" s="25" t="s">
        <v>163</v>
      </c>
      <c r="J16" s="25" t="s">
        <v>164</v>
      </c>
      <c r="K16" s="25" t="s">
        <v>165</v>
      </c>
      <c r="L16" s="25" t="s">
        <v>166</v>
      </c>
      <c r="M16" s="25" t="s">
        <v>145</v>
      </c>
    </row>
    <row r="17" spans="1:13">
      <c r="A17" t="s">
        <v>149</v>
      </c>
      <c r="B17">
        <v>23.75</v>
      </c>
      <c r="C17">
        <v>15.25</v>
      </c>
      <c r="D17">
        <v>1</v>
      </c>
      <c r="F17" t="s">
        <v>167</v>
      </c>
      <c r="I17" s="25" t="s">
        <v>168</v>
      </c>
      <c r="J17" s="25" t="s">
        <v>169</v>
      </c>
      <c r="K17" s="25" t="s">
        <v>170</v>
      </c>
      <c r="L17" s="25" t="s">
        <v>170</v>
      </c>
      <c r="M17" s="25" t="s">
        <v>153</v>
      </c>
    </row>
    <row r="18" spans="1:13">
      <c r="I18" s="25" t="s">
        <v>171</v>
      </c>
      <c r="J18" s="25" t="s">
        <v>172</v>
      </c>
      <c r="K18" s="25" t="s">
        <v>173</v>
      </c>
      <c r="L18" s="25" t="s">
        <v>170</v>
      </c>
      <c r="M18" s="25" t="s">
        <v>156</v>
      </c>
    </row>
    <row r="19" spans="1:13">
      <c r="I19" s="25" t="s">
        <v>171</v>
      </c>
      <c r="J19" s="25" t="s">
        <v>174</v>
      </c>
      <c r="K19" s="25" t="s">
        <v>173</v>
      </c>
      <c r="L19" s="25" t="s">
        <v>175</v>
      </c>
      <c r="M19" s="25" t="s">
        <v>157</v>
      </c>
    </row>
    <row r="20" spans="1:13">
      <c r="I20" s="25" t="s">
        <v>176</v>
      </c>
      <c r="J20" s="25" t="s">
        <v>177</v>
      </c>
      <c r="K20" s="25" t="s">
        <v>173</v>
      </c>
      <c r="L20" s="25" t="s">
        <v>178</v>
      </c>
      <c r="M20" s="25" t="s">
        <v>162</v>
      </c>
    </row>
    <row r="21" spans="1:13">
      <c r="I21" s="25" t="s">
        <v>179</v>
      </c>
      <c r="J21" s="25" t="s">
        <v>180</v>
      </c>
      <c r="K21" s="25" t="s">
        <v>181</v>
      </c>
      <c r="L21" s="25" t="s">
        <v>178</v>
      </c>
      <c r="M21" s="25" t="s">
        <v>154</v>
      </c>
    </row>
    <row r="22" spans="1:13">
      <c r="I22" s="25" t="s">
        <v>179</v>
      </c>
      <c r="J22" s="25" t="s">
        <v>180</v>
      </c>
      <c r="K22" s="25" t="s">
        <v>182</v>
      </c>
      <c r="L22" s="25" t="s">
        <v>178</v>
      </c>
      <c r="M22" s="25" t="s">
        <v>154</v>
      </c>
    </row>
    <row r="23" spans="1:13">
      <c r="I23" s="25" t="s">
        <v>179</v>
      </c>
      <c r="J23" s="25" t="s">
        <v>180</v>
      </c>
      <c r="K23" s="25" t="s">
        <v>183</v>
      </c>
      <c r="L23" s="25" t="s">
        <v>178</v>
      </c>
      <c r="M23" s="25" t="s">
        <v>154</v>
      </c>
    </row>
    <row r="24" spans="1:13">
      <c r="I24" s="25" t="s">
        <v>179</v>
      </c>
      <c r="J24" s="25" t="s">
        <v>180</v>
      </c>
      <c r="K24" s="25" t="s">
        <v>184</v>
      </c>
      <c r="L24" s="25" t="s">
        <v>178</v>
      </c>
      <c r="M24" s="25" t="s">
        <v>154</v>
      </c>
    </row>
    <row r="25" spans="1:13">
      <c r="I25" s="25" t="s">
        <v>140</v>
      </c>
      <c r="J25" s="25"/>
      <c r="K25" s="25"/>
      <c r="L25" s="25"/>
      <c r="M25" s="25"/>
    </row>
    <row r="26" spans="1:13">
      <c r="I26" s="25" t="s">
        <v>158</v>
      </c>
      <c r="J26" s="25" t="s">
        <v>159</v>
      </c>
      <c r="K26" s="25" t="s">
        <v>137</v>
      </c>
      <c r="L26" s="25" t="s">
        <v>138</v>
      </c>
      <c r="M26" s="25"/>
    </row>
    <row r="27" spans="1:13">
      <c r="I27" s="25" t="s">
        <v>185</v>
      </c>
      <c r="J27" s="25">
        <v>1</v>
      </c>
      <c r="K27" s="25" t="s">
        <v>147</v>
      </c>
      <c r="L27" s="25" t="s">
        <v>148</v>
      </c>
      <c r="M27" s="25"/>
    </row>
    <row r="28" spans="1:13">
      <c r="I28" s="25" t="s">
        <v>163</v>
      </c>
      <c r="J28" s="25" t="s">
        <v>164</v>
      </c>
      <c r="K28" s="25" t="s">
        <v>165</v>
      </c>
      <c r="L28" s="25" t="s">
        <v>166</v>
      </c>
      <c r="M28" s="25" t="s">
        <v>145</v>
      </c>
    </row>
    <row r="29" spans="1:13">
      <c r="I29" s="25" t="s">
        <v>186</v>
      </c>
      <c r="J29" s="25" t="s">
        <v>187</v>
      </c>
      <c r="K29" s="25" t="s">
        <v>170</v>
      </c>
      <c r="L29" s="25" t="s">
        <v>170</v>
      </c>
      <c r="M29" s="25" t="s">
        <v>167</v>
      </c>
    </row>
    <row r="30" spans="1:13">
      <c r="I30" s="25" t="s">
        <v>188</v>
      </c>
      <c r="J30" s="25" t="s">
        <v>189</v>
      </c>
      <c r="K30" s="25" t="s">
        <v>170</v>
      </c>
      <c r="L30" s="25" t="s">
        <v>190</v>
      </c>
      <c r="M30" s="25" t="s">
        <v>151</v>
      </c>
    </row>
    <row r="31" spans="1:13">
      <c r="I31" s="25" t="s">
        <v>189</v>
      </c>
      <c r="J31" s="25" t="s">
        <v>188</v>
      </c>
      <c r="K31" s="25" t="s">
        <v>170</v>
      </c>
      <c r="L31" s="25" t="s">
        <v>186</v>
      </c>
      <c r="M31" s="25" t="s">
        <v>151</v>
      </c>
    </row>
    <row r="32" spans="1:13">
      <c r="I32" s="25" t="s">
        <v>191</v>
      </c>
      <c r="J32" s="25" t="s">
        <v>188</v>
      </c>
      <c r="K32" s="25" t="s">
        <v>192</v>
      </c>
      <c r="L32" s="25" t="s">
        <v>186</v>
      </c>
      <c r="M32" s="25" t="s">
        <v>150</v>
      </c>
    </row>
    <row r="33" spans="9:13">
      <c r="I33" s="25" t="s">
        <v>174</v>
      </c>
      <c r="J33" s="25" t="s">
        <v>193</v>
      </c>
      <c r="K33" s="25" t="s">
        <v>194</v>
      </c>
      <c r="L33" s="25" t="s">
        <v>186</v>
      </c>
      <c r="M33" s="25" t="s">
        <v>160</v>
      </c>
    </row>
    <row r="34" spans="9:13">
      <c r="I34" s="25" t="s">
        <v>174</v>
      </c>
      <c r="J34" s="25" t="s">
        <v>193</v>
      </c>
      <c r="K34" s="25" t="s">
        <v>195</v>
      </c>
      <c r="L34" s="25" t="s">
        <v>186</v>
      </c>
      <c r="M34" s="25" t="s">
        <v>160</v>
      </c>
    </row>
  </sheetData>
  <hyperlinks>
    <hyperlink ref="I2" r:id="rId1" location="form" display="https://www.opticutter.com/cut-list-optimizer/result - form" xr:uid="{7CBA2BC5-4F86-4520-A1F1-B27257EADEE6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 Williamson</dc:creator>
  <cp:keywords/>
  <dc:description/>
  <cp:lastModifiedBy>Leif Hille</cp:lastModifiedBy>
  <cp:revision/>
  <dcterms:created xsi:type="dcterms:W3CDTF">2025-10-17T14:09:38Z</dcterms:created>
  <dcterms:modified xsi:type="dcterms:W3CDTF">2026-03-20T19:18:39Z</dcterms:modified>
  <cp:category/>
  <cp:contentStatus/>
</cp:coreProperties>
</file>